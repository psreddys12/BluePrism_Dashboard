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One Drive RTS\OneDrive - Resolve Tech Solutions\Desktop\"/>
    </mc:Choice>
  </mc:AlternateContent>
  <xr:revisionPtr revIDLastSave="0" documentId="13_ncr:1_{85F3DC0E-2D8F-48BE-806B-26A22779E0F0}" xr6:coauthVersionLast="47" xr6:coauthVersionMax="47" xr10:uidLastSave="{00000000-0000-0000-0000-000000000000}"/>
  <bookViews>
    <workbookView xWindow="-108" yWindow="-108" windowWidth="23256" windowHeight="12456" xr2:uid="{78008D38-37A4-4080-8E46-8C23667BA900}"/>
  </bookViews>
  <sheets>
    <sheet name="Summary_Jan2026" sheetId="3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3" i="30" l="1"/>
  <c r="K14" i="30"/>
  <c r="L11" i="30" l="1"/>
  <c r="L9" i="30" l="1"/>
  <c r="L4" i="30"/>
  <c r="L5" i="30"/>
  <c r="L7" i="30"/>
  <c r="L6" i="30"/>
  <c r="L10" i="30"/>
  <c r="L8" i="30"/>
</calcChain>
</file>

<file path=xl/sharedStrings.xml><?xml version="1.0" encoding="utf-8"?>
<sst xmlns="http://schemas.openxmlformats.org/spreadsheetml/2006/main" count="20" uniqueCount="20">
  <si>
    <t>Total Savings</t>
  </si>
  <si>
    <t>Customer</t>
  </si>
  <si>
    <t>IT</t>
  </si>
  <si>
    <t>Functional Area</t>
  </si>
  <si>
    <t>Cumulative Savings in USD</t>
  </si>
  <si>
    <t>Finance Accounting</t>
  </si>
  <si>
    <t>Legal</t>
  </si>
  <si>
    <t>Regulatory</t>
  </si>
  <si>
    <t>Supply Chain</t>
  </si>
  <si>
    <t>Gas Ops</t>
  </si>
  <si>
    <t>Savings
2019</t>
  </si>
  <si>
    <t>Savings
2020</t>
  </si>
  <si>
    <t>Savings
2021</t>
  </si>
  <si>
    <t>Savings
2022</t>
  </si>
  <si>
    <t>Savings
2023</t>
  </si>
  <si>
    <t>Savings
2024</t>
  </si>
  <si>
    <t>Electrical Tech and Ops</t>
  </si>
  <si>
    <t>Projected Savings
2026</t>
  </si>
  <si>
    <t>Savings
2025</t>
  </si>
  <si>
    <t>Matched with Details sheet?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</si>
</sst>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5" formatCode="[$USD]\ #,##0.00"/>
    <numFmt numFmtId="166" formatCode="[$$-409]#,##0.00"/>
    <numFmt numFmtId="168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191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0" fontId="3" fillId="3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 readingOrder="1"/>
    </xf>
    <xf numFmtId="9" fontId="0" fillId="0" borderId="0" xfId="2" applyFont="1"/>
    <xf numFmtId="0" fontId="4" fillId="4" borderId="1" xfId="0" applyFont="1" applyFill="1" applyBorder="1" applyAlignment="1">
      <alignment horizontal="left" vertical="center" wrapText="1" readingOrder="1"/>
    </xf>
    <xf numFmtId="165" fontId="0" fillId="0" borderId="0" xfId="1" applyNumberFormat="1" applyFont="1"/>
    <xf numFmtId="166" fontId="0" fillId="0" borderId="1" xfId="1" applyNumberFormat="1" applyFont="1" applyBorder="1" applyAlignment="1">
      <alignment horizontal="center" vertical="center" wrapText="1"/>
    </xf>
    <xf numFmtId="166" fontId="1" fillId="2" borderId="1" xfId="1" applyNumberFormat="1" applyFont="1" applyFill="1" applyBorder="1" applyAlignment="1">
      <alignment horizontal="center" vertical="center" wrapText="1"/>
    </xf>
    <xf numFmtId="168" fontId="0" fillId="0" borderId="1" xfId="1" applyNumberFormat="1" applyFont="1" applyBorder="1" applyAlignment="1">
      <alignment horizontal="center" vertical="center" wrapText="1"/>
    </xf>
    <xf numFmtId="168" fontId="2" fillId="0" borderId="1" xfId="1" applyNumberFormat="1" applyFont="1" applyBorder="1" applyAlignment="1">
      <alignment horizontal="center" vertical="center" wrapText="1"/>
    </xf>
    <xf numFmtId="166" fontId="2" fillId="0" borderId="1" xfId="1" applyNumberFormat="1" applyFont="1" applyBorder="1" applyAlignment="1">
      <alignment horizontal="center" vertical="center" wrapText="1"/>
    </xf>
    <xf numFmtId="44" fontId="0" fillId="0" borderId="0" xfId="1" applyFont="1" applyAlignment="1">
      <alignment wrapText="1"/>
    </xf>
    <xf numFmtId="44" fontId="0" fillId="7" borderId="0" xfId="1" applyFont="1" applyFill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Savings in Functional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B3D-43C1-9B1E-F16B9D8263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B3D-43C1-9B1E-F16B9D8263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B3D-43C1-9B1E-F16B9D8263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B3D-43C1-9B1E-F16B9D8263C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F48-429D-818F-94A106D4B6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F48-429D-818F-94A106D4B6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D1F-4E14-9A9A-CEA8D30016B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9B8-4CDF-AC7D-33719ED4660B}"/>
              </c:ext>
            </c:extLst>
          </c:dPt>
          <c:dLbls>
            <c:delete val="1"/>
          </c:dLbls>
          <c:cat>
            <c:strRef>
              <c:f>Summary_Jan2026!$B$4:$B$11</c:f>
              <c:strCache>
                <c:ptCount val="8"/>
                <c:pt idx="0">
                  <c:v>Customer</c:v>
                </c:pt>
                <c:pt idx="1">
                  <c:v>Finance Accounting</c:v>
                </c:pt>
                <c:pt idx="2">
                  <c:v>Gas Ops</c:v>
                </c:pt>
                <c:pt idx="3">
                  <c:v>IT</c:v>
                </c:pt>
                <c:pt idx="4">
                  <c:v>Legal</c:v>
                </c:pt>
                <c:pt idx="5">
                  <c:v>Regulatory</c:v>
                </c:pt>
                <c:pt idx="6">
                  <c:v>Supply Chain</c:v>
                </c:pt>
                <c:pt idx="7">
                  <c:v>Electrical Tech and Ops</c:v>
                </c:pt>
              </c:strCache>
            </c:strRef>
          </c:cat>
          <c:val>
            <c:numRef>
              <c:f>Summary_Jan2026!$L$4:$L$11</c:f>
              <c:numCache>
                <c:formatCode>0%</c:formatCode>
                <c:ptCount val="8"/>
                <c:pt idx="0">
                  <c:v>0.21948342964219353</c:v>
                </c:pt>
                <c:pt idx="1">
                  <c:v>0.10587301970974593</c:v>
                </c:pt>
                <c:pt idx="2">
                  <c:v>0.40449416975570113</c:v>
                </c:pt>
                <c:pt idx="3">
                  <c:v>0.14797436151864823</c:v>
                </c:pt>
                <c:pt idx="4">
                  <c:v>2.7735395382111918E-2</c:v>
                </c:pt>
                <c:pt idx="5">
                  <c:v>2.4967489923650495E-2</c:v>
                </c:pt>
                <c:pt idx="6">
                  <c:v>3.1996331974261764E-3</c:v>
                </c:pt>
                <c:pt idx="7">
                  <c:v>6.6272500870522527E-2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0-411D-8E34-74D99DFF833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68580</xdr:colOff>
      <xdr:row>2</xdr:row>
      <xdr:rowOff>293370</xdr:rowOff>
    </xdr:from>
    <xdr:to>
      <xdr:col>20</xdr:col>
      <xdr:colOff>373380</xdr:colOff>
      <xdr:row>20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466407-6BA0-18D1-80B3-85857CF8C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A194-83AA-4173-8776-C408FF2BF4C1}">
  <dimension ref="B3:L19"/>
  <sheetViews>
    <sheetView tabSelected="1" workbookViewId="0">
      <selection activeCell="J13" sqref="J13:K14"/>
    </sheetView>
  </sheetViews>
  <sheetFormatPr defaultRowHeight="14.4" x14ac:dyDescent="0.3"/>
  <cols>
    <col min="2" max="2" width="19.109375" customWidth="1"/>
    <col min="3" max="5" width="13.6640625" bestFit="1" customWidth="1"/>
    <col min="6" max="6" width="14.6640625" bestFit="1" customWidth="1"/>
    <col min="7" max="7" width="13.6640625" bestFit="1" customWidth="1"/>
    <col min="8" max="9" width="13.6640625" customWidth="1"/>
    <col min="10" max="10" width="14.44140625" bestFit="1" customWidth="1"/>
    <col min="11" max="11" width="15.88671875" bestFit="1" customWidth="1"/>
    <col min="12" max="12" width="14.6640625" bestFit="1" customWidth="1"/>
  </cols>
  <sheetData>
    <row r="3" spans="2:12" ht="43.2" x14ac:dyDescent="0.3">
      <c r="B3" s="2" t="s">
        <v>3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18</v>
      </c>
      <c r="J3" s="5" t="s">
        <v>17</v>
      </c>
      <c r="K3" s="3" t="s">
        <v>4</v>
      </c>
    </row>
    <row r="4" spans="2:12" x14ac:dyDescent="0.3">
      <c r="B4" s="7" t="s">
        <v>1</v>
      </c>
      <c r="C4" s="9">
        <v>0</v>
      </c>
      <c r="D4" s="9">
        <v>0</v>
      </c>
      <c r="E4" s="9">
        <v>41132</v>
      </c>
      <c r="F4" s="9">
        <v>97734</v>
      </c>
      <c r="G4" s="9">
        <v>320019</v>
      </c>
      <c r="H4" s="9">
        <v>523404</v>
      </c>
      <c r="I4" s="9">
        <v>1722554.8725000001</v>
      </c>
      <c r="J4" s="9">
        <v>3158093.4000000004</v>
      </c>
      <c r="K4" s="9">
        <v>5862937.2725</v>
      </c>
      <c r="L4" s="6">
        <f>K4/K12</f>
        <v>0.21948342964219353</v>
      </c>
    </row>
    <row r="5" spans="2:12" x14ac:dyDescent="0.3">
      <c r="B5" s="7" t="s">
        <v>5</v>
      </c>
      <c r="C5" s="9">
        <v>0</v>
      </c>
      <c r="D5" s="9">
        <v>6300</v>
      </c>
      <c r="E5" s="9">
        <v>17850</v>
      </c>
      <c r="F5" s="9">
        <v>59850</v>
      </c>
      <c r="G5" s="9">
        <v>195873.75862068965</v>
      </c>
      <c r="H5" s="9">
        <v>282085.03448275861</v>
      </c>
      <c r="I5" s="9">
        <v>892922.53448275861</v>
      </c>
      <c r="J5" s="9">
        <v>1373245.0344827587</v>
      </c>
      <c r="K5" s="9">
        <v>2828126.3620689656</v>
      </c>
      <c r="L5" s="6">
        <f>K5/K12</f>
        <v>0.10587301970974593</v>
      </c>
    </row>
    <row r="6" spans="2:12" x14ac:dyDescent="0.3">
      <c r="B6" s="7" t="s">
        <v>9</v>
      </c>
      <c r="C6" s="9">
        <v>1680000</v>
      </c>
      <c r="D6" s="9">
        <v>1680000</v>
      </c>
      <c r="E6" s="9">
        <v>1680000</v>
      </c>
      <c r="F6" s="9">
        <v>1381065</v>
      </c>
      <c r="G6" s="9">
        <v>1028580</v>
      </c>
      <c r="H6" s="9">
        <v>934360</v>
      </c>
      <c r="I6" s="9">
        <v>1204000</v>
      </c>
      <c r="J6" s="9">
        <v>1217020</v>
      </c>
      <c r="K6" s="9">
        <v>10805025</v>
      </c>
      <c r="L6" s="6">
        <f>K6/K12</f>
        <v>0.40449416975570113</v>
      </c>
    </row>
    <row r="7" spans="2:12" x14ac:dyDescent="0.3">
      <c r="B7" s="7" t="s">
        <v>2</v>
      </c>
      <c r="C7" s="11">
        <v>49770</v>
      </c>
      <c r="D7" s="11">
        <v>101500</v>
      </c>
      <c r="E7" s="11">
        <v>402150</v>
      </c>
      <c r="F7" s="11">
        <v>338520</v>
      </c>
      <c r="G7" s="11">
        <v>425197.5</v>
      </c>
      <c r="H7" s="11">
        <v>743890</v>
      </c>
      <c r="I7" s="12">
        <v>911817.9</v>
      </c>
      <c r="J7" s="12">
        <v>979910.4</v>
      </c>
      <c r="K7" s="12">
        <v>3952755.8</v>
      </c>
      <c r="L7" s="6">
        <f>K7/K12</f>
        <v>0.14797436151864823</v>
      </c>
    </row>
    <row r="8" spans="2:12" x14ac:dyDescent="0.3">
      <c r="B8" s="7" t="s">
        <v>6</v>
      </c>
      <c r="C8" s="9">
        <v>0</v>
      </c>
      <c r="D8" s="9">
        <v>0</v>
      </c>
      <c r="E8" s="9">
        <v>0</v>
      </c>
      <c r="F8" s="9">
        <v>0</v>
      </c>
      <c r="G8" s="9">
        <v>4200</v>
      </c>
      <c r="H8" s="9">
        <v>222600</v>
      </c>
      <c r="I8" s="13">
        <v>257040</v>
      </c>
      <c r="J8" s="13">
        <v>257040</v>
      </c>
      <c r="K8" s="13">
        <v>740880</v>
      </c>
      <c r="L8" s="6">
        <f>K8/K12</f>
        <v>2.7735395382111918E-2</v>
      </c>
    </row>
    <row r="9" spans="2:12" x14ac:dyDescent="0.3">
      <c r="B9" s="7" t="s">
        <v>7</v>
      </c>
      <c r="C9" s="9">
        <v>0</v>
      </c>
      <c r="D9" s="9">
        <v>0</v>
      </c>
      <c r="E9" s="9">
        <v>0</v>
      </c>
      <c r="F9" s="9">
        <v>0</v>
      </c>
      <c r="G9" s="9">
        <v>4620</v>
      </c>
      <c r="H9" s="9">
        <v>55440</v>
      </c>
      <c r="I9" s="9">
        <v>97212.5</v>
      </c>
      <c r="J9" s="9">
        <v>509670</v>
      </c>
      <c r="K9" s="9">
        <v>666942.5</v>
      </c>
      <c r="L9" s="6">
        <f>K9/K12</f>
        <v>2.4967489923650495E-2</v>
      </c>
    </row>
    <row r="10" spans="2:12" x14ac:dyDescent="0.3">
      <c r="B10" s="7" t="s">
        <v>8</v>
      </c>
      <c r="C10" s="9">
        <v>0</v>
      </c>
      <c r="D10" s="9">
        <v>0</v>
      </c>
      <c r="E10" s="9">
        <v>0</v>
      </c>
      <c r="F10" s="9">
        <v>0</v>
      </c>
      <c r="G10" s="9">
        <v>2310</v>
      </c>
      <c r="H10" s="9">
        <v>27720</v>
      </c>
      <c r="I10" s="9">
        <v>27720</v>
      </c>
      <c r="J10" s="9">
        <v>27720</v>
      </c>
      <c r="K10" s="9">
        <v>85470</v>
      </c>
      <c r="L10" s="6">
        <f>K10/K12</f>
        <v>3.1996331974261764E-3</v>
      </c>
    </row>
    <row r="11" spans="2:12" ht="28.8" x14ac:dyDescent="0.3">
      <c r="B11" s="7" t="s">
        <v>16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31500</v>
      </c>
      <c r="J11" s="9">
        <v>1738800</v>
      </c>
      <c r="K11" s="9">
        <v>1770300</v>
      </c>
      <c r="L11" s="6">
        <f>K11/K12</f>
        <v>6.6272500870522527E-2</v>
      </c>
    </row>
    <row r="12" spans="2:12" x14ac:dyDescent="0.3">
      <c r="B12" s="4" t="s">
        <v>0</v>
      </c>
      <c r="C12" s="9">
        <v>1729770</v>
      </c>
      <c r="D12" s="9">
        <v>1787800</v>
      </c>
      <c r="E12" s="9">
        <v>2141132</v>
      </c>
      <c r="F12" s="9">
        <v>1877169</v>
      </c>
      <c r="G12" s="9">
        <v>1980800.2586206896</v>
      </c>
      <c r="H12" s="9">
        <v>2789499.0344827585</v>
      </c>
      <c r="I12" s="9">
        <v>5144767.8069827585</v>
      </c>
      <c r="J12" s="9">
        <v>9261498.8344827592</v>
      </c>
      <c r="K12" s="10">
        <v>26712436.934568968</v>
      </c>
      <c r="L12" s="6"/>
    </row>
    <row r="13" spans="2:12" x14ac:dyDescent="0.3">
      <c r="C13" s="1"/>
      <c r="D13" s="1"/>
      <c r="E13" s="1"/>
      <c r="F13" s="1"/>
      <c r="G13" s="1"/>
      <c r="H13" s="1"/>
      <c r="I13" s="1"/>
      <c r="J13" s="1"/>
      <c r="K13" s="1" t="e">
        <f>#REF!</f>
        <v>#REF!</v>
      </c>
    </row>
    <row r="14" spans="2:12" ht="28.8" x14ac:dyDescent="0.3">
      <c r="C14" s="1"/>
      <c r="D14" s="1"/>
      <c r="E14" s="1"/>
      <c r="F14" s="1"/>
      <c r="G14" s="1"/>
      <c r="H14" s="1"/>
      <c r="I14" s="1"/>
      <c r="J14" s="14" t="s">
        <v>19</v>
      </c>
      <c r="K14" s="15" t="e">
        <f>K12=K13</f>
        <v>#REF!</v>
      </c>
    </row>
    <row r="15" spans="2:12" x14ac:dyDescent="0.3">
      <c r="C15" s="1"/>
      <c r="D15" s="1"/>
      <c r="E15" s="1"/>
      <c r="F15" s="8"/>
      <c r="G15" s="1"/>
      <c r="H15" s="1"/>
      <c r="I15" s="1"/>
      <c r="J15" s="1"/>
      <c r="K15" s="1"/>
    </row>
    <row r="16" spans="2:12" x14ac:dyDescent="0.3">
      <c r="C16" s="1"/>
      <c r="D16" s="1"/>
      <c r="E16" s="1"/>
      <c r="F16" s="1"/>
      <c r="G16" s="1"/>
      <c r="H16" s="1"/>
      <c r="I16" s="1"/>
      <c r="J16" s="1"/>
      <c r="K16" s="1"/>
    </row>
    <row r="17" spans="3:11" x14ac:dyDescent="0.3">
      <c r="C17" s="1"/>
      <c r="D17" s="1"/>
      <c r="E17" s="1"/>
      <c r="F17" s="1"/>
      <c r="G17" s="1"/>
      <c r="H17" s="1"/>
      <c r="I17" s="1"/>
      <c r="J17" s="1"/>
      <c r="K17" s="1"/>
    </row>
    <row r="18" spans="3:11" x14ac:dyDescent="0.3">
      <c r="C18" s="1"/>
      <c r="D18" s="1"/>
      <c r="E18" s="1"/>
      <c r="F18" s="1"/>
      <c r="G18" s="1"/>
      <c r="H18" s="1"/>
      <c r="I18" s="1"/>
      <c r="J18" s="1"/>
      <c r="K18" s="1"/>
    </row>
    <row r="19" spans="3:11" x14ac:dyDescent="0.3">
      <c r="C19" s="1"/>
      <c r="D19" s="1"/>
      <c r="E19" s="1"/>
      <c r="F19" s="1"/>
      <c r="G19" s="1"/>
      <c r="H19" s="1"/>
      <c r="I19" s="1"/>
      <c r="J19" s="1"/>
      <c r="K19" s="1"/>
    </row>
  </sheetData>
  <pageMargins left="0.7" right="0.7" top="0.75" bottom="0.75" header="0.3" footer="0.3"/>
  <pageSetup orientation="portrait" horizontalDpi="200" verticalDpi="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FE19F9DD350442A332F8D6A6743669" ma:contentTypeVersion="4" ma:contentTypeDescription="Create a new document." ma:contentTypeScope="" ma:versionID="213e60792ddb035e4a4fa474c6d2e1cd">
  <xsd:schema xmlns:xsd="http://www.w3.org/2001/XMLSchema" xmlns:xs="http://www.w3.org/2001/XMLSchema" xmlns:p="http://schemas.microsoft.com/office/2006/metadata/properties" xmlns:ns2="620c7246-2e68-4b05-8b81-cb11c13c5eb0" targetNamespace="http://schemas.microsoft.com/office/2006/metadata/properties" ma:root="true" ma:fieldsID="4f2014d89abb81f003de8767e5e95fd3" ns2:_="">
    <xsd:import namespace="620c7246-2e68-4b05-8b81-cb11c13c5e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c7246-2e68-4b05-8b81-cb11c13c5e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6ABD3B-FC5F-4C34-8B4B-D586E116EF62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620c7246-2e68-4b05-8b81-cb11c13c5eb0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1A1D38F-286A-431C-93E0-4F54C2F61E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0c7246-2e68-4b05-8b81-cb11c13c5e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5CC615-9C64-41DE-A42C-6C36522695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Summary_Jan2026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 Kumar Gopagoni</dc:creator>
  <cp:lastModifiedBy>Gopagoni, C_Sravan Kumar X</cp:lastModifiedBy>
  <cp:lastPrinted>2024-09-26T18:15:02Z</cp:lastPrinted>
  <dcterms:created xsi:type="dcterms:W3CDTF">2019-09-26T11:31:08Z</dcterms:created>
  <dcterms:modified xsi:type="dcterms:W3CDTF">2026-01-20T11:10:46Z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ac3a1a-de19-428b-b395-6d250d7743fb_Enabled">
    <vt:lpwstr>true</vt:lpwstr>
  </property>
  <property fmtid="{D5CDD505-2E9C-101B-9397-08002B2CF9AE}" pid="3" name="MSIP_Label_e3ac3a1a-de19-428b-b395-6d250d7743fb_SetDate">
    <vt:lpwstr>2022-09-15T14:40:00Z</vt:lpwstr>
  </property>
  <property fmtid="{D5CDD505-2E9C-101B-9397-08002B2CF9AE}" pid="4" name="MSIP_Label_e3ac3a1a-de19-428b-b395-6d250d7743fb_Method">
    <vt:lpwstr>Standard</vt:lpwstr>
  </property>
  <property fmtid="{D5CDD505-2E9C-101B-9397-08002B2CF9AE}" pid="5" name="MSIP_Label_e3ac3a1a-de19-428b-b395-6d250d7743fb_Name">
    <vt:lpwstr>Internal Use Only</vt:lpwstr>
  </property>
  <property fmtid="{D5CDD505-2E9C-101B-9397-08002B2CF9AE}" pid="6" name="MSIP_Label_e3ac3a1a-de19-428b-b395-6d250d7743fb_SiteId">
    <vt:lpwstr>88cc5fd7-fd78-44b6-ad75-b6915088974f</vt:lpwstr>
  </property>
  <property fmtid="{D5CDD505-2E9C-101B-9397-08002B2CF9AE}" pid="7" name="MSIP_Label_e3ac3a1a-de19-428b-b395-6d250d7743fb_ActionId">
    <vt:lpwstr>b67a35fa-5fe4-4b80-9e53-4aeaafca1470</vt:lpwstr>
  </property>
  <property fmtid="{D5CDD505-2E9C-101B-9397-08002B2CF9AE}" pid="8" name="MSIP_Label_e3ac3a1a-de19-428b-b395-6d250d7743fb_ContentBits">
    <vt:lpwstr>0</vt:lpwstr>
  </property>
  <property fmtid="{D5CDD505-2E9C-101B-9397-08002B2CF9AE}" pid="9" name="ContentTypeId">
    <vt:lpwstr>0x010100EBFE19F9DD350442A332F8D6A6743669</vt:lpwstr>
  </property>
</Properties>
</file>